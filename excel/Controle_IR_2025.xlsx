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vasconcellos\Downloads\"/>
    </mc:Choice>
  </mc:AlternateContent>
  <xr:revisionPtr revIDLastSave="0" documentId="13_ncr:1_{A71E9AEC-028C-48DF-8BFC-BCEA4DE90E7B}" xr6:coauthVersionLast="47" xr6:coauthVersionMax="47" xr10:uidLastSave="{00000000-0000-0000-0000-000000000000}"/>
  <bookViews>
    <workbookView xWindow="-108" yWindow="-108" windowWidth="23256" windowHeight="13896" activeTab="5" xr2:uid="{00000000-000D-0000-FFFF-FFFF00000000}"/>
  </bookViews>
  <sheets>
    <sheet name="Dashboard" sheetId="1" r:id="rId1"/>
    <sheet name="Rendimentos" sheetId="2" r:id="rId2"/>
    <sheet name="Deduções" sheetId="3" r:id="rId3"/>
    <sheet name="Despesas Profissionais" sheetId="4" r:id="rId4"/>
    <sheet name="Bens e Direitos" sheetId="5" r:id="rId5"/>
    <sheet name="Resumo Fiscal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6" l="1"/>
  <c r="D7" i="6"/>
  <c r="F14" i="5"/>
  <c r="D12" i="6" s="1"/>
  <c r="F15" i="4"/>
  <c r="D8" i="1" s="1"/>
  <c r="F15" i="3"/>
  <c r="D7" i="1" s="1"/>
  <c r="F15" i="2"/>
  <c r="D6" i="1" s="1"/>
  <c r="D9" i="1" s="1"/>
  <c r="D10" i="1" s="1"/>
  <c r="D13" i="1"/>
  <c r="D11" i="1"/>
  <c r="D9" i="6" l="1"/>
  <c r="D10" i="6" s="1"/>
  <c r="D11" i="6" s="1"/>
</calcChain>
</file>

<file path=xl/sharedStrings.xml><?xml version="1.0" encoding="utf-8"?>
<sst xmlns="http://schemas.openxmlformats.org/spreadsheetml/2006/main" count="129" uniqueCount="75">
  <si>
    <t>Dashboard</t>
  </si>
  <si>
    <t>Rendimentos</t>
  </si>
  <si>
    <t>Deduções</t>
  </si>
  <si>
    <t>Despesas Profissionais</t>
  </si>
  <si>
    <t>Bens e Direitos</t>
  </si>
  <si>
    <t>Resumo Fiscal</t>
  </si>
  <si>
    <t>CONTROLE DE IMPOSTO DE RENDA 2025</t>
  </si>
  <si>
    <t>RESUMO FISCAL 2025</t>
  </si>
  <si>
    <t>Rendimentos Totais</t>
  </si>
  <si>
    <t>Deduções Totais</t>
  </si>
  <si>
    <t>Base de Cálculo</t>
  </si>
  <si>
    <t>Imposto Estimado (15%)</t>
  </si>
  <si>
    <t>Patrimônio Total</t>
  </si>
  <si>
    <t>Atualizado em</t>
  </si>
  <si>
    <t>2. RENDIMENTOS</t>
  </si>
  <si>
    <t>Registre seus lançamentos abaixo</t>
  </si>
  <si>
    <t>LANÇAMENTOS</t>
  </si>
  <si>
    <t>DATA</t>
  </si>
  <si>
    <t>CATEGORIA</t>
  </si>
  <si>
    <t>DESCRIÇÃO</t>
  </si>
  <si>
    <t>VALOR</t>
  </si>
  <si>
    <t>Salário</t>
  </si>
  <si>
    <t>Folha de Pagamento Janeiro</t>
  </si>
  <si>
    <t>Folha de Pagamento Fevereiro</t>
  </si>
  <si>
    <t>Folha de Pagamento Março</t>
  </si>
  <si>
    <t>Aluguel</t>
  </si>
  <si>
    <t>Rendimento de Aluguel - Imóvel</t>
  </si>
  <si>
    <t>Honorários</t>
  </si>
  <si>
    <t>Consultoria</t>
  </si>
  <si>
    <t>TOTAL</t>
  </si>
  <si>
    <t>3. DEDUÇÕES</t>
  </si>
  <si>
    <t>Previdenciária (INSS)</t>
  </si>
  <si>
    <t>Contribuição INSS</t>
  </si>
  <si>
    <t>Educação</t>
  </si>
  <si>
    <t>Cursinho e Livros</t>
  </si>
  <si>
    <t>Saúde</t>
  </si>
  <si>
    <t>Plano de Saúde</t>
  </si>
  <si>
    <t>Dependentes</t>
  </si>
  <si>
    <t>Pensão Alimentícia</t>
  </si>
  <si>
    <t>Curso Online</t>
  </si>
  <si>
    <t>4. DESPESAS PROFISSIONAIS</t>
  </si>
  <si>
    <t>Material</t>
  </si>
  <si>
    <t>Suprimentos de Escritório</t>
  </si>
  <si>
    <t>Software/Licenças</t>
  </si>
  <si>
    <t>Licença Antivírus</t>
  </si>
  <si>
    <t>Sala Comercial Ref Janeiro</t>
  </si>
  <si>
    <t>Energia/Água</t>
  </si>
  <si>
    <t>Conta de Luz Escritório</t>
  </si>
  <si>
    <t>Transporte</t>
  </si>
  <si>
    <t>Combustível Profissional</t>
  </si>
  <si>
    <t>5. BENS E DIREITOS</t>
  </si>
  <si>
    <t>Patrimônio (bens, direitos e investimentos)</t>
  </si>
  <si>
    <t>ITENS</t>
  </si>
  <si>
    <t>LOCALIZAÇÃO</t>
  </si>
  <si>
    <t>DATA AQUISIÇÃO</t>
  </si>
  <si>
    <t>OBSERVAÇÕES</t>
  </si>
  <si>
    <t>Imóvel Residencial</t>
  </si>
  <si>
    <t>Rua A, nº 100, Rio de Janeiro</t>
  </si>
  <si>
    <t>Casa própria</t>
  </si>
  <si>
    <t>Apartamento Alugado</t>
  </si>
  <si>
    <t>Avenida B, nº 500, Rio de Janeiro</t>
  </si>
  <si>
    <t>Gera renda</t>
  </si>
  <si>
    <t>Carro</t>
  </si>
  <si>
    <t>Placa ABC-1234</t>
  </si>
  <si>
    <t>Veículo</t>
  </si>
  <si>
    <t>Ações</t>
  </si>
  <si>
    <t>Tesouro Direto + BRML11</t>
  </si>
  <si>
    <t>Investimentos</t>
  </si>
  <si>
    <t>6. RESUMO FISCAL</t>
  </si>
  <si>
    <t>Resumo automático a partir dos lançamentos</t>
  </si>
  <si>
    <t>RESUMO</t>
  </si>
  <si>
    <t>Total de Rendimentos</t>
  </si>
  <si>
    <t>Total de Deduções</t>
  </si>
  <si>
    <t>Total de Despesas Profissionais</t>
  </si>
  <si>
    <t>Patrimônio Total Declarado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</si>
</sst>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10" x14ac:knownFonts="1">
    <font>
      <sz val="11"/>
      <color theme="1"/>
      <name val="Calibri"/>
      <family val="2"/>
      <scheme val="minor"/>
    </font>
    <font>
      <b/>
      <sz val="15"/>
      <color rgb="FF7030A0"/>
      <name val="Calibri"/>
      <family val="2"/>
      <scheme val="minor"/>
    </font>
    <font>
      <i/>
      <sz val="11"/>
      <color theme="2" tint="-0.749961851863155"/>
      <name val="Calibri"/>
      <family val="2"/>
      <scheme val="minor"/>
    </font>
    <font>
      <sz val="11"/>
      <color theme="1"/>
      <name val="Segoe UI Light"/>
      <family val="2"/>
    </font>
    <font>
      <sz val="11"/>
      <color rgb="FF9C5700"/>
      <name val="Calibri"/>
      <family val="2"/>
      <scheme val="minor"/>
    </font>
    <font>
      <b/>
      <sz val="11"/>
      <color theme="0"/>
      <name val="Segoe UI Light"/>
      <family val="2"/>
    </font>
    <font>
      <b/>
      <sz val="10"/>
      <color theme="1"/>
      <name val="Segoe UI"/>
      <family val="2"/>
    </font>
    <font>
      <sz val="11"/>
      <color theme="1"/>
      <name val="Segoe UI"/>
      <family val="2"/>
    </font>
    <font>
      <b/>
      <sz val="11"/>
      <color theme="1"/>
      <name val="Segoe UI"/>
    </font>
    <font>
      <sz val="11"/>
      <color theme="0"/>
      <name val="72 Black"/>
      <family val="2"/>
    </font>
  </fonts>
  <fills count="7">
    <fill>
      <patternFill patternType="none"/>
    </fill>
    <fill>
      <patternFill patternType="gray125"/>
    </fill>
    <fill>
      <patternFill patternType="solid">
        <fgColor theme="8" tint="0.79995117038483843"/>
        <bgColor indexed="65"/>
      </patternFill>
    </fill>
    <fill>
      <patternFill patternType="solid">
        <fgColor rgb="FFFFEB9C"/>
      </patternFill>
    </fill>
    <fill>
      <patternFill patternType="solid">
        <fgColor rgb="FFEE37BF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-0.24997711111789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rgb="FFEE37BF"/>
      </bottom>
      <diagonal/>
    </border>
    <border>
      <left/>
      <right/>
      <top style="thick">
        <color rgb="FFEE37BF"/>
      </top>
      <bottom/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ck">
        <color rgb="FF7030A0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/>
    <xf numFmtId="0" fontId="3" fillId="0" borderId="3" xfId="0" applyFont="1" applyBorder="1" applyAlignment="1">
      <alignment horizontal="right"/>
    </xf>
    <xf numFmtId="164" fontId="4" fillId="3" borderId="3" xfId="0" applyNumberFormat="1" applyFont="1" applyFill="1" applyBorder="1" applyAlignment="1">
      <alignment horizontal="left"/>
    </xf>
    <xf numFmtId="14" fontId="4" fillId="3" borderId="3" xfId="0" applyNumberFormat="1" applyFont="1" applyFill="1" applyBorder="1" applyAlignment="1">
      <alignment horizontal="left"/>
    </xf>
    <xf numFmtId="0" fontId="5" fillId="4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4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164" fontId="7" fillId="0" borderId="0" xfId="0" applyNumberFormat="1" applyFont="1" applyAlignment="1">
      <alignment horizontal="center"/>
    </xf>
    <xf numFmtId="0" fontId="0" fillId="0" borderId="4" xfId="0" applyBorder="1"/>
    <xf numFmtId="0" fontId="8" fillId="0" borderId="4" xfId="0" applyFont="1" applyBorder="1" applyAlignment="1">
      <alignment horizontal="center"/>
    </xf>
    <xf numFmtId="164" fontId="8" fillId="0" borderId="4" xfId="0" applyNumberFormat="1" applyFont="1" applyBorder="1" applyAlignment="1">
      <alignment horizontal="center"/>
    </xf>
    <xf numFmtId="0" fontId="0" fillId="5" borderId="0" xfId="0" applyFill="1"/>
    <xf numFmtId="0" fontId="9" fillId="6" borderId="0" xfId="0" applyFont="1" applyFill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836930</xdr:colOff>
      <xdr:row>19</xdr:row>
      <xdr:rowOff>47942</xdr:rowOff>
    </xdr:from>
    <xdr:to>
      <xdr:col>0</xdr:col>
      <xdr:colOff>1182114</xdr:colOff>
      <xdr:row>20</xdr:row>
      <xdr:rowOff>187008</xdr:rowOff>
    </xdr:to>
    <xdr:pic>
      <xdr:nvPicPr>
        <xdr:cNvPr id="3" name="/xl/media/image2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6930" y="4071302"/>
          <a:ext cx="345184" cy="344806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7620</xdr:colOff>
      <xdr:row>9</xdr:row>
      <xdr:rowOff>157276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CEC40D35-1CFD-52C2-D3E1-5494EEAD78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57400" cy="212323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836930</xdr:colOff>
      <xdr:row>19</xdr:row>
      <xdr:rowOff>47942</xdr:rowOff>
    </xdr:from>
    <xdr:to>
      <xdr:col>0</xdr:col>
      <xdr:colOff>1182114</xdr:colOff>
      <xdr:row>20</xdr:row>
      <xdr:rowOff>187008</xdr:rowOff>
    </xdr:to>
    <xdr:pic>
      <xdr:nvPicPr>
        <xdr:cNvPr id="2" name="/xl/media/image2.png">
          <a:extLst>
            <a:ext uri="{FF2B5EF4-FFF2-40B4-BE49-F238E27FC236}">
              <a16:creationId xmlns:a16="http://schemas.microsoft.com/office/drawing/2014/main" id="{556B4AB5-ADC4-47D9-A32F-9AC5249353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6930" y="4071302"/>
          <a:ext cx="345184" cy="344806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7620</xdr:colOff>
      <xdr:row>9</xdr:row>
      <xdr:rowOff>157276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A32D909A-BF23-465B-86A2-6BF76727AB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57400" cy="212323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836930</xdr:colOff>
      <xdr:row>19</xdr:row>
      <xdr:rowOff>47942</xdr:rowOff>
    </xdr:from>
    <xdr:to>
      <xdr:col>0</xdr:col>
      <xdr:colOff>1182114</xdr:colOff>
      <xdr:row>20</xdr:row>
      <xdr:rowOff>187008</xdr:rowOff>
    </xdr:to>
    <xdr:pic>
      <xdr:nvPicPr>
        <xdr:cNvPr id="2" name="/xl/media/image2.png">
          <a:extLst>
            <a:ext uri="{FF2B5EF4-FFF2-40B4-BE49-F238E27FC236}">
              <a16:creationId xmlns:a16="http://schemas.microsoft.com/office/drawing/2014/main" id="{23140FCD-780B-4852-910D-F01AEF367A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6930" y="4071302"/>
          <a:ext cx="345184" cy="344806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7620</xdr:colOff>
      <xdr:row>9</xdr:row>
      <xdr:rowOff>157276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E8951CA3-C42A-499C-80DC-7EB896E4A0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57400" cy="212323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836930</xdr:colOff>
      <xdr:row>19</xdr:row>
      <xdr:rowOff>47942</xdr:rowOff>
    </xdr:from>
    <xdr:to>
      <xdr:col>0</xdr:col>
      <xdr:colOff>1182114</xdr:colOff>
      <xdr:row>20</xdr:row>
      <xdr:rowOff>187008</xdr:rowOff>
    </xdr:to>
    <xdr:pic>
      <xdr:nvPicPr>
        <xdr:cNvPr id="2" name="/xl/media/image2.png">
          <a:extLst>
            <a:ext uri="{FF2B5EF4-FFF2-40B4-BE49-F238E27FC236}">
              <a16:creationId xmlns:a16="http://schemas.microsoft.com/office/drawing/2014/main" id="{58E20C60-0C7E-4554-B8F9-853112F6CA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6930" y="4071302"/>
          <a:ext cx="345184" cy="344806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7620</xdr:colOff>
      <xdr:row>9</xdr:row>
      <xdr:rowOff>157276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EE7BF27F-A68E-4F89-8901-9CD3C1A7DB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57400" cy="212323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836930</xdr:colOff>
      <xdr:row>19</xdr:row>
      <xdr:rowOff>47942</xdr:rowOff>
    </xdr:from>
    <xdr:to>
      <xdr:col>0</xdr:col>
      <xdr:colOff>1182114</xdr:colOff>
      <xdr:row>20</xdr:row>
      <xdr:rowOff>187008</xdr:rowOff>
    </xdr:to>
    <xdr:pic>
      <xdr:nvPicPr>
        <xdr:cNvPr id="2" name="/xl/media/image2.png">
          <a:extLst>
            <a:ext uri="{FF2B5EF4-FFF2-40B4-BE49-F238E27FC236}">
              <a16:creationId xmlns:a16="http://schemas.microsoft.com/office/drawing/2014/main" id="{18E451D5-2862-4912-B639-9C62B29E42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6930" y="4071302"/>
          <a:ext cx="345184" cy="344806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7620</xdr:colOff>
      <xdr:row>9</xdr:row>
      <xdr:rowOff>157276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21100F68-7EDF-493D-AC7B-5C3F21CD8B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57400" cy="2123236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836930</xdr:colOff>
      <xdr:row>19</xdr:row>
      <xdr:rowOff>47942</xdr:rowOff>
    </xdr:from>
    <xdr:to>
      <xdr:col>0</xdr:col>
      <xdr:colOff>1182114</xdr:colOff>
      <xdr:row>20</xdr:row>
      <xdr:rowOff>187008</xdr:rowOff>
    </xdr:to>
    <xdr:pic>
      <xdr:nvPicPr>
        <xdr:cNvPr id="2" name="/xl/media/image2.png">
          <a:extLst>
            <a:ext uri="{FF2B5EF4-FFF2-40B4-BE49-F238E27FC236}">
              <a16:creationId xmlns:a16="http://schemas.microsoft.com/office/drawing/2014/main" id="{FF6FAC1F-75A1-4EC1-894F-417F8352B9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6930" y="4071302"/>
          <a:ext cx="345184" cy="344806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7620</xdr:colOff>
      <xdr:row>9</xdr:row>
      <xdr:rowOff>157276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CE58F15D-FBE0-4FFF-83B5-BF06D1E93D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57400" cy="212323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0.39997558519241921"/>
  </sheetPr>
  <dimension ref="A1:E29"/>
  <sheetViews>
    <sheetView showGridLines="0" workbookViewId="0">
      <pane xSplit="1" topLeftCell="B1" activePane="topRight" state="frozen"/>
      <selection pane="topRight" sqref="A1:A1048576"/>
    </sheetView>
  </sheetViews>
  <sheetFormatPr defaultRowHeight="14.4" x14ac:dyDescent="0.3"/>
  <cols>
    <col min="1" max="1" width="29.88671875" customWidth="1"/>
    <col min="2" max="2" width="13" customWidth="1"/>
    <col min="3" max="3" width="42.21875" customWidth="1"/>
    <col min="4" max="4" width="43.21875" customWidth="1"/>
    <col min="5" max="8" width="13" customWidth="1"/>
  </cols>
  <sheetData>
    <row r="1" spans="1:5" x14ac:dyDescent="0.3">
      <c r="A1" s="13"/>
    </row>
    <row r="2" spans="1:5" ht="19.95" customHeight="1" x14ac:dyDescent="0.3">
      <c r="A2" s="13"/>
    </row>
    <row r="3" spans="1:5" ht="19.95" customHeight="1" x14ac:dyDescent="0.4">
      <c r="A3" s="13"/>
      <c r="C3" s="1" t="s">
        <v>6</v>
      </c>
    </row>
    <row r="4" spans="1:5" ht="22.05" customHeight="1" x14ac:dyDescent="0.3">
      <c r="A4" s="13"/>
      <c r="C4" s="15" t="s">
        <v>7</v>
      </c>
      <c r="D4" s="16"/>
      <c r="E4" s="16"/>
    </row>
    <row r="5" spans="1:5" x14ac:dyDescent="0.3">
      <c r="A5" s="13"/>
    </row>
    <row r="6" spans="1:5" ht="16.5" customHeight="1" x14ac:dyDescent="0.4">
      <c r="A6" s="13"/>
      <c r="C6" s="2" t="s">
        <v>8</v>
      </c>
      <c r="D6" s="3">
        <f>Rendimentos!F15</f>
        <v>18500</v>
      </c>
    </row>
    <row r="7" spans="1:5" ht="16.5" customHeight="1" x14ac:dyDescent="0.4">
      <c r="A7" s="13"/>
      <c r="C7" s="2" t="s">
        <v>9</v>
      </c>
      <c r="D7" s="3">
        <f>Deduções!F15</f>
        <v>2950</v>
      </c>
    </row>
    <row r="8" spans="1:5" ht="16.5" customHeight="1" x14ac:dyDescent="0.4">
      <c r="A8" s="13"/>
      <c r="C8" s="2" t="s">
        <v>3</v>
      </c>
      <c r="D8" s="3">
        <f>'Despesas Profissionais'!F15</f>
        <v>1980</v>
      </c>
    </row>
    <row r="9" spans="1:5" ht="16.5" customHeight="1" x14ac:dyDescent="0.4">
      <c r="A9" s="13"/>
      <c r="C9" s="2" t="s">
        <v>10</v>
      </c>
      <c r="D9" s="3">
        <f>D6-D7-D8</f>
        <v>13570</v>
      </c>
    </row>
    <row r="10" spans="1:5" ht="16.5" customHeight="1" x14ac:dyDescent="0.4">
      <c r="A10" s="13"/>
      <c r="C10" s="2" t="s">
        <v>11</v>
      </c>
      <c r="D10" s="3">
        <f>D9*0.15</f>
        <v>2035.5</v>
      </c>
    </row>
    <row r="11" spans="1:5" ht="16.5" customHeight="1" x14ac:dyDescent="0.4">
      <c r="A11" s="13"/>
      <c r="C11" s="2" t="s">
        <v>12</v>
      </c>
      <c r="D11" s="3">
        <f>'Bens e Direitos'!F14</f>
        <v>880000</v>
      </c>
    </row>
    <row r="12" spans="1:5" ht="16.5" customHeight="1" x14ac:dyDescent="0.3">
      <c r="A12" s="13"/>
    </row>
    <row r="13" spans="1:5" ht="16.5" customHeight="1" x14ac:dyDescent="0.4">
      <c r="A13" s="14" t="s">
        <v>0</v>
      </c>
      <c r="C13" s="2" t="s">
        <v>13</v>
      </c>
      <c r="D13" s="4">
        <f ca="1">TODAY()</f>
        <v>46020</v>
      </c>
    </row>
    <row r="14" spans="1:5" ht="16.5" customHeight="1" x14ac:dyDescent="0.3">
      <c r="A14" s="14" t="s">
        <v>1</v>
      </c>
    </row>
    <row r="15" spans="1:5" ht="16.5" customHeight="1" x14ac:dyDescent="0.3">
      <c r="A15" s="14" t="s">
        <v>2</v>
      </c>
    </row>
    <row r="16" spans="1:5" ht="16.5" customHeight="1" x14ac:dyDescent="0.3">
      <c r="A16" s="14" t="s">
        <v>3</v>
      </c>
    </row>
    <row r="17" spans="1:1" ht="16.5" customHeight="1" x14ac:dyDescent="0.3">
      <c r="A17" s="14" t="s">
        <v>4</v>
      </c>
    </row>
    <row r="18" spans="1:1" ht="16.5" customHeight="1" x14ac:dyDescent="0.3">
      <c r="A18" s="14" t="s">
        <v>5</v>
      </c>
    </row>
    <row r="19" spans="1:1" ht="16.5" customHeight="1" x14ac:dyDescent="0.3">
      <c r="A19" s="13"/>
    </row>
    <row r="20" spans="1:1" ht="16.5" customHeight="1" x14ac:dyDescent="0.3">
      <c r="A20" s="13"/>
    </row>
    <row r="21" spans="1:1" ht="16.5" customHeight="1" x14ac:dyDescent="0.3">
      <c r="A21" s="13"/>
    </row>
    <row r="22" spans="1:1" ht="16.5" customHeight="1" x14ac:dyDescent="0.3">
      <c r="A22" s="13"/>
    </row>
    <row r="23" spans="1:1" ht="16.5" customHeight="1" x14ac:dyDescent="0.3">
      <c r="A23" s="13"/>
    </row>
    <row r="24" spans="1:1" ht="16.5" customHeight="1" x14ac:dyDescent="0.3">
      <c r="A24" s="13"/>
    </row>
    <row r="25" spans="1:1" ht="16.5" customHeight="1" x14ac:dyDescent="0.3">
      <c r="A25" s="13"/>
    </row>
    <row r="26" spans="1:1" ht="16.5" customHeight="1" x14ac:dyDescent="0.3">
      <c r="A26" s="13"/>
    </row>
    <row r="27" spans="1:1" ht="16.5" customHeight="1" x14ac:dyDescent="0.3">
      <c r="A27" s="13"/>
    </row>
    <row r="28" spans="1:1" ht="16.5" customHeight="1" x14ac:dyDescent="0.3">
      <c r="A28" s="13"/>
    </row>
    <row r="29" spans="1:1" ht="16.5" customHeight="1" x14ac:dyDescent="0.3"/>
  </sheetData>
  <mergeCells count="1">
    <mergeCell ref="C4:E4"/>
  </mergeCells>
  <hyperlinks>
    <hyperlink ref="A13" location="'Dashboard'!A1" display="Dashboard" xr:uid="{00000000-0004-0000-0000-000000000000}"/>
    <hyperlink ref="A14" location="'Rendimentos'!A1" display="Rendimentos" xr:uid="{0A060BD7-F72E-47D1-AC89-F55F59C50E67}"/>
    <hyperlink ref="A15" location="'Deduções'!A1" display="Deduções" xr:uid="{3ED24211-D78F-45CA-990C-EB66A6149369}"/>
    <hyperlink ref="A16" location="'Despesas Profissionais'!A1" display="Despesas Profissionais" xr:uid="{4B8C557E-A170-4A5E-8FC1-163BFD6E1D6E}"/>
    <hyperlink ref="A17" location="'Bens e Direitos'!A1" display="Bens e Direitos" xr:uid="{939D58C4-40EE-496A-AB22-BB6932E71DDD}"/>
    <hyperlink ref="A18" location="'Resumo Fiscal'!A1" display="Resumo Fiscal" xr:uid="{23DE9466-A756-4A1D-84E9-84A9E682F397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 tint="0.39997558519241921"/>
  </sheetPr>
  <dimension ref="A1:F29"/>
  <sheetViews>
    <sheetView showGridLines="0" workbookViewId="0">
      <pane xSplit="1" topLeftCell="B1" activePane="topRight" state="frozen"/>
      <selection pane="topRight" sqref="A1:A1048576"/>
    </sheetView>
  </sheetViews>
  <sheetFormatPr defaultRowHeight="14.4" x14ac:dyDescent="0.3"/>
  <cols>
    <col min="1" max="1" width="29.88671875" customWidth="1"/>
    <col min="2" max="2" width="13" customWidth="1"/>
    <col min="3" max="3" width="18" customWidth="1"/>
    <col min="4" max="4" width="22" customWidth="1"/>
    <col min="5" max="5" width="50" customWidth="1"/>
    <col min="6" max="6" width="15" customWidth="1"/>
    <col min="7" max="8" width="13" customWidth="1"/>
  </cols>
  <sheetData>
    <row r="1" spans="1:6" x14ac:dyDescent="0.3">
      <c r="A1" s="13"/>
    </row>
    <row r="2" spans="1:6" ht="19.95" customHeight="1" x14ac:dyDescent="0.3">
      <c r="A2" s="13"/>
    </row>
    <row r="3" spans="1:6" ht="19.95" customHeight="1" x14ac:dyDescent="0.4">
      <c r="A3" s="13"/>
      <c r="C3" s="1" t="s">
        <v>14</v>
      </c>
    </row>
    <row r="4" spans="1:6" ht="22.05" customHeight="1" x14ac:dyDescent="0.3">
      <c r="A4" s="13"/>
      <c r="C4" s="15" t="s">
        <v>15</v>
      </c>
      <c r="D4" s="16"/>
      <c r="E4" s="16"/>
    </row>
    <row r="5" spans="1:6" x14ac:dyDescent="0.3">
      <c r="A5" s="13"/>
    </row>
    <row r="6" spans="1:6" ht="16.5" customHeight="1" x14ac:dyDescent="0.3">
      <c r="A6" s="13"/>
    </row>
    <row r="7" spans="1:6" ht="16.5" customHeight="1" x14ac:dyDescent="0.4">
      <c r="A7" s="13"/>
      <c r="C7" s="5" t="s">
        <v>16</v>
      </c>
    </row>
    <row r="8" spans="1:6" ht="16.5" customHeight="1" x14ac:dyDescent="0.35">
      <c r="A8" s="13"/>
      <c r="C8" s="6" t="s">
        <v>17</v>
      </c>
      <c r="D8" s="6" t="s">
        <v>18</v>
      </c>
      <c r="E8" s="6" t="s">
        <v>19</v>
      </c>
      <c r="F8" s="6" t="s">
        <v>20</v>
      </c>
    </row>
    <row r="9" spans="1:6" ht="16.5" customHeight="1" x14ac:dyDescent="0.4">
      <c r="A9" s="13"/>
      <c r="C9" s="7">
        <v>45658</v>
      </c>
      <c r="D9" s="8" t="s">
        <v>21</v>
      </c>
      <c r="E9" s="8" t="s">
        <v>22</v>
      </c>
      <c r="F9" s="9">
        <v>5000</v>
      </c>
    </row>
    <row r="10" spans="1:6" ht="16.5" customHeight="1" x14ac:dyDescent="0.4">
      <c r="A10" s="13"/>
      <c r="C10" s="7">
        <v>45689</v>
      </c>
      <c r="D10" s="8" t="s">
        <v>21</v>
      </c>
      <c r="E10" s="8" t="s">
        <v>23</v>
      </c>
      <c r="F10" s="9">
        <v>5000</v>
      </c>
    </row>
    <row r="11" spans="1:6" ht="16.5" customHeight="1" x14ac:dyDescent="0.4">
      <c r="A11" s="13"/>
      <c r="C11" s="7">
        <v>45717</v>
      </c>
      <c r="D11" s="8" t="s">
        <v>21</v>
      </c>
      <c r="E11" s="8" t="s">
        <v>24</v>
      </c>
      <c r="F11" s="9">
        <v>5000</v>
      </c>
    </row>
    <row r="12" spans="1:6" ht="16.5" customHeight="1" x14ac:dyDescent="0.4">
      <c r="A12" s="13"/>
      <c r="C12" s="7">
        <v>45748</v>
      </c>
      <c r="D12" s="8" t="s">
        <v>25</v>
      </c>
      <c r="E12" s="8" t="s">
        <v>26</v>
      </c>
      <c r="F12" s="9">
        <v>1500</v>
      </c>
    </row>
    <row r="13" spans="1:6" ht="16.5" customHeight="1" x14ac:dyDescent="0.4">
      <c r="A13" s="14" t="s">
        <v>0</v>
      </c>
      <c r="C13" s="7">
        <v>45762</v>
      </c>
      <c r="D13" s="8" t="s">
        <v>27</v>
      </c>
      <c r="E13" s="8" t="s">
        <v>28</v>
      </c>
      <c r="F13" s="9">
        <v>2000</v>
      </c>
    </row>
    <row r="14" spans="1:6" ht="16.5" customHeight="1" x14ac:dyDescent="0.3">
      <c r="A14" s="14" t="s">
        <v>1</v>
      </c>
    </row>
    <row r="15" spans="1:6" ht="16.5" customHeight="1" x14ac:dyDescent="0.4">
      <c r="A15" s="14" t="s">
        <v>2</v>
      </c>
      <c r="C15" s="10"/>
      <c r="D15" s="10"/>
      <c r="E15" s="11" t="s">
        <v>29</v>
      </c>
      <c r="F15" s="12">
        <f>SUM(F9:F13)</f>
        <v>18500</v>
      </c>
    </row>
    <row r="16" spans="1:6" ht="16.5" customHeight="1" x14ac:dyDescent="0.3">
      <c r="A16" s="14" t="s">
        <v>3</v>
      </c>
    </row>
    <row r="17" spans="1:1" ht="16.5" customHeight="1" x14ac:dyDescent="0.3">
      <c r="A17" s="14" t="s">
        <v>4</v>
      </c>
    </row>
    <row r="18" spans="1:1" ht="16.5" customHeight="1" x14ac:dyDescent="0.3">
      <c r="A18" s="14" t="s">
        <v>5</v>
      </c>
    </row>
    <row r="19" spans="1:1" ht="16.5" customHeight="1" x14ac:dyDescent="0.3">
      <c r="A19" s="13"/>
    </row>
    <row r="20" spans="1:1" ht="16.5" customHeight="1" x14ac:dyDescent="0.3">
      <c r="A20" s="13"/>
    </row>
    <row r="21" spans="1:1" ht="16.5" customHeight="1" x14ac:dyDescent="0.3">
      <c r="A21" s="13"/>
    </row>
    <row r="22" spans="1:1" ht="16.5" customHeight="1" x14ac:dyDescent="0.3">
      <c r="A22" s="13"/>
    </row>
    <row r="23" spans="1:1" ht="16.5" customHeight="1" x14ac:dyDescent="0.3">
      <c r="A23" s="13"/>
    </row>
    <row r="24" spans="1:1" ht="16.5" customHeight="1" x14ac:dyDescent="0.3">
      <c r="A24" s="13"/>
    </row>
    <row r="25" spans="1:1" ht="16.5" customHeight="1" x14ac:dyDescent="0.3">
      <c r="A25" s="13"/>
    </row>
    <row r="26" spans="1:1" ht="16.5" customHeight="1" x14ac:dyDescent="0.3">
      <c r="A26" s="13"/>
    </row>
    <row r="27" spans="1:1" ht="16.5" customHeight="1" x14ac:dyDescent="0.3">
      <c r="A27" s="13"/>
    </row>
    <row r="28" spans="1:1" ht="16.5" customHeight="1" x14ac:dyDescent="0.3">
      <c r="A28" s="13"/>
    </row>
    <row r="29" spans="1:1" ht="16.5" customHeight="1" x14ac:dyDescent="0.3"/>
  </sheetData>
  <mergeCells count="1">
    <mergeCell ref="C4:E4"/>
  </mergeCells>
  <hyperlinks>
    <hyperlink ref="A13" location="'Dashboard'!A1" display="Dashboard" xr:uid="{00C5E3C3-3889-4ADE-A224-72F471A23338}"/>
    <hyperlink ref="A14" location="'Rendimentos'!A1" display="Rendimentos" xr:uid="{F7B395EA-BB27-4794-B782-E2F29F2C7957}"/>
    <hyperlink ref="A15" location="'Deduções'!A1" display="Deduções" xr:uid="{F9C99501-7C45-4B1D-9B0A-302042008599}"/>
    <hyperlink ref="A16" location="'Despesas Profissionais'!A1" display="Despesas Profissionais" xr:uid="{CE9F6182-2EA0-4498-9B96-E484EB21816F}"/>
    <hyperlink ref="A17" location="'Bens e Direitos'!A1" display="Bens e Direitos" xr:uid="{037809A3-0C13-49FD-BC9C-620D9E295BDF}"/>
    <hyperlink ref="A18" location="'Resumo Fiscal'!A1" display="Resumo Fiscal" xr:uid="{0063C4E7-8B6E-4E5B-BC6F-308851F09D08}"/>
  </hyperlink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 tint="0.39997558519241921"/>
  </sheetPr>
  <dimension ref="A1:F29"/>
  <sheetViews>
    <sheetView showGridLines="0" workbookViewId="0">
      <selection sqref="A1:A1048576"/>
    </sheetView>
  </sheetViews>
  <sheetFormatPr defaultRowHeight="14.4" x14ac:dyDescent="0.3"/>
  <cols>
    <col min="1" max="1" width="29.88671875" customWidth="1"/>
    <col min="2" max="2" width="13" customWidth="1"/>
    <col min="3" max="3" width="18" customWidth="1"/>
    <col min="4" max="4" width="22" customWidth="1"/>
    <col min="5" max="5" width="50" customWidth="1"/>
    <col min="6" max="6" width="15" customWidth="1"/>
    <col min="7" max="8" width="13" customWidth="1"/>
  </cols>
  <sheetData>
    <row r="1" spans="1:6" x14ac:dyDescent="0.3">
      <c r="A1" s="13"/>
    </row>
    <row r="2" spans="1:6" ht="19.95" customHeight="1" x14ac:dyDescent="0.3">
      <c r="A2" s="13"/>
    </row>
    <row r="3" spans="1:6" ht="19.95" customHeight="1" x14ac:dyDescent="0.4">
      <c r="A3" s="13"/>
      <c r="C3" s="1" t="s">
        <v>30</v>
      </c>
    </row>
    <row r="4" spans="1:6" ht="22.05" customHeight="1" x14ac:dyDescent="0.3">
      <c r="A4" s="13"/>
      <c r="C4" s="15" t="s">
        <v>15</v>
      </c>
      <c r="D4" s="16"/>
      <c r="E4" s="16"/>
    </row>
    <row r="5" spans="1:6" x14ac:dyDescent="0.3">
      <c r="A5" s="13"/>
    </row>
    <row r="6" spans="1:6" ht="16.5" customHeight="1" x14ac:dyDescent="0.3">
      <c r="A6" s="13"/>
    </row>
    <row r="7" spans="1:6" ht="16.5" customHeight="1" x14ac:dyDescent="0.4">
      <c r="A7" s="13"/>
      <c r="C7" s="5" t="s">
        <v>16</v>
      </c>
    </row>
    <row r="8" spans="1:6" ht="16.5" customHeight="1" x14ac:dyDescent="0.35">
      <c r="A8" s="13"/>
      <c r="C8" s="6" t="s">
        <v>17</v>
      </c>
      <c r="D8" s="6" t="s">
        <v>18</v>
      </c>
      <c r="E8" s="6" t="s">
        <v>19</v>
      </c>
      <c r="F8" s="6" t="s">
        <v>20</v>
      </c>
    </row>
    <row r="9" spans="1:6" ht="16.5" customHeight="1" x14ac:dyDescent="0.4">
      <c r="A9" s="13"/>
      <c r="C9" s="7">
        <v>45662</v>
      </c>
      <c r="D9" s="8" t="s">
        <v>31</v>
      </c>
      <c r="E9" s="8" t="s">
        <v>32</v>
      </c>
      <c r="F9" s="9">
        <v>750</v>
      </c>
    </row>
    <row r="10" spans="1:6" ht="16.5" customHeight="1" x14ac:dyDescent="0.4">
      <c r="A10" s="13"/>
      <c r="C10" s="7">
        <v>45672</v>
      </c>
      <c r="D10" s="8" t="s">
        <v>33</v>
      </c>
      <c r="E10" s="8" t="s">
        <v>34</v>
      </c>
      <c r="F10" s="9">
        <v>500</v>
      </c>
    </row>
    <row r="11" spans="1:6" ht="16.5" customHeight="1" x14ac:dyDescent="0.4">
      <c r="A11" s="13"/>
      <c r="C11" s="7">
        <v>45708</v>
      </c>
      <c r="D11" s="8" t="s">
        <v>35</v>
      </c>
      <c r="E11" s="8" t="s">
        <v>36</v>
      </c>
      <c r="F11" s="9">
        <v>400</v>
      </c>
    </row>
    <row r="12" spans="1:6" ht="16.5" customHeight="1" x14ac:dyDescent="0.4">
      <c r="A12" s="13"/>
      <c r="C12" s="7">
        <v>45726</v>
      </c>
      <c r="D12" s="8" t="s">
        <v>37</v>
      </c>
      <c r="E12" s="8" t="s">
        <v>38</v>
      </c>
      <c r="F12" s="9">
        <v>1000</v>
      </c>
    </row>
    <row r="13" spans="1:6" ht="16.5" customHeight="1" x14ac:dyDescent="0.4">
      <c r="A13" s="14" t="s">
        <v>0</v>
      </c>
      <c r="C13" s="7">
        <v>45741</v>
      </c>
      <c r="D13" s="8" t="s">
        <v>33</v>
      </c>
      <c r="E13" s="8" t="s">
        <v>39</v>
      </c>
      <c r="F13" s="9">
        <v>300</v>
      </c>
    </row>
    <row r="14" spans="1:6" ht="16.5" customHeight="1" x14ac:dyDescent="0.3">
      <c r="A14" s="14" t="s">
        <v>1</v>
      </c>
    </row>
    <row r="15" spans="1:6" ht="16.5" customHeight="1" x14ac:dyDescent="0.4">
      <c r="A15" s="14" t="s">
        <v>2</v>
      </c>
      <c r="C15" s="10"/>
      <c r="D15" s="10"/>
      <c r="E15" s="11" t="s">
        <v>29</v>
      </c>
      <c r="F15" s="12">
        <f>SUM(F9:F13)</f>
        <v>2950</v>
      </c>
    </row>
    <row r="16" spans="1:6" ht="16.5" customHeight="1" x14ac:dyDescent="0.3">
      <c r="A16" s="14" t="s">
        <v>3</v>
      </c>
    </row>
    <row r="17" spans="1:1" ht="16.5" customHeight="1" x14ac:dyDescent="0.3">
      <c r="A17" s="14" t="s">
        <v>4</v>
      </c>
    </row>
    <row r="18" spans="1:1" ht="16.5" customHeight="1" x14ac:dyDescent="0.3">
      <c r="A18" s="14" t="s">
        <v>5</v>
      </c>
    </row>
    <row r="19" spans="1:1" ht="16.5" customHeight="1" x14ac:dyDescent="0.3">
      <c r="A19" s="13"/>
    </row>
    <row r="20" spans="1:1" ht="16.5" customHeight="1" x14ac:dyDescent="0.3">
      <c r="A20" s="13"/>
    </row>
    <row r="21" spans="1:1" ht="16.5" customHeight="1" x14ac:dyDescent="0.3">
      <c r="A21" s="13"/>
    </row>
    <row r="22" spans="1:1" ht="16.5" customHeight="1" x14ac:dyDescent="0.3">
      <c r="A22" s="13"/>
    </row>
    <row r="23" spans="1:1" ht="16.5" customHeight="1" x14ac:dyDescent="0.3">
      <c r="A23" s="13"/>
    </row>
    <row r="24" spans="1:1" ht="16.5" customHeight="1" x14ac:dyDescent="0.3">
      <c r="A24" s="13"/>
    </row>
    <row r="25" spans="1:1" ht="16.5" customHeight="1" x14ac:dyDescent="0.3">
      <c r="A25" s="13"/>
    </row>
    <row r="26" spans="1:1" ht="16.5" customHeight="1" x14ac:dyDescent="0.3">
      <c r="A26" s="13"/>
    </row>
    <row r="27" spans="1:1" ht="16.5" customHeight="1" x14ac:dyDescent="0.3">
      <c r="A27" s="13"/>
    </row>
    <row r="28" spans="1:1" ht="16.5" customHeight="1" x14ac:dyDescent="0.3">
      <c r="A28" s="13"/>
    </row>
    <row r="29" spans="1:1" ht="16.5" customHeight="1" x14ac:dyDescent="0.3"/>
  </sheetData>
  <mergeCells count="1">
    <mergeCell ref="C4:E4"/>
  </mergeCells>
  <hyperlinks>
    <hyperlink ref="A13" location="'Dashboard'!A1" display="Dashboard" xr:uid="{7063C0C9-77C8-49C7-8CF0-6745870AB7A1}"/>
    <hyperlink ref="A14" location="'Rendimentos'!A1" display="Rendimentos" xr:uid="{C515485A-6427-426A-9E06-4204F0C66F65}"/>
    <hyperlink ref="A15" location="'Deduções'!A1" display="Deduções" xr:uid="{BF528613-D6CE-4B66-9314-B4D793B9FA2D}"/>
    <hyperlink ref="A16" location="'Despesas Profissionais'!A1" display="Despesas Profissionais" xr:uid="{B15833CF-19F8-4E30-BCC0-BC2116E23A73}"/>
    <hyperlink ref="A17" location="'Bens e Direitos'!A1" display="Bens e Direitos" xr:uid="{693E6323-C13E-45B6-B2D1-8F3666EA8D58}"/>
    <hyperlink ref="A18" location="'Resumo Fiscal'!A1" display="Resumo Fiscal" xr:uid="{E994D718-C154-4960-9F14-A232AEC5ACE5}"/>
  </hyperlink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6" tint="0.39997558519241921"/>
  </sheetPr>
  <dimension ref="A1:F29"/>
  <sheetViews>
    <sheetView showGridLines="0" zoomScaleNormal="100" workbookViewId="0">
      <pane xSplit="1" topLeftCell="B1" activePane="topRight" state="frozen"/>
      <selection pane="topRight" sqref="A1:A1048576"/>
    </sheetView>
  </sheetViews>
  <sheetFormatPr defaultRowHeight="14.4" x14ac:dyDescent="0.3"/>
  <cols>
    <col min="1" max="1" width="29.88671875" customWidth="1"/>
    <col min="2" max="2" width="13" customWidth="1"/>
    <col min="3" max="3" width="18" customWidth="1"/>
    <col min="4" max="4" width="22" customWidth="1"/>
    <col min="5" max="5" width="50" customWidth="1"/>
    <col min="6" max="6" width="15" customWidth="1"/>
    <col min="7" max="8" width="13" customWidth="1"/>
  </cols>
  <sheetData>
    <row r="1" spans="1:6" x14ac:dyDescent="0.3">
      <c r="A1" s="13"/>
    </row>
    <row r="2" spans="1:6" ht="19.95" customHeight="1" x14ac:dyDescent="0.3">
      <c r="A2" s="13"/>
    </row>
    <row r="3" spans="1:6" ht="19.95" customHeight="1" x14ac:dyDescent="0.4">
      <c r="A3" s="13"/>
      <c r="C3" s="1" t="s">
        <v>40</v>
      </c>
    </row>
    <row r="4" spans="1:6" ht="22.05" customHeight="1" x14ac:dyDescent="0.3">
      <c r="A4" s="13"/>
      <c r="C4" s="15" t="s">
        <v>15</v>
      </c>
      <c r="D4" s="16"/>
      <c r="E4" s="16"/>
    </row>
    <row r="5" spans="1:6" x14ac:dyDescent="0.3">
      <c r="A5" s="13"/>
    </row>
    <row r="6" spans="1:6" ht="16.5" customHeight="1" x14ac:dyDescent="0.3">
      <c r="A6" s="13"/>
    </row>
    <row r="7" spans="1:6" ht="16.5" customHeight="1" x14ac:dyDescent="0.4">
      <c r="A7" s="13"/>
      <c r="C7" s="5" t="s">
        <v>16</v>
      </c>
    </row>
    <row r="8" spans="1:6" ht="16.5" customHeight="1" x14ac:dyDescent="0.35">
      <c r="A8" s="13"/>
      <c r="C8" s="6" t="s">
        <v>17</v>
      </c>
      <c r="D8" s="6" t="s">
        <v>18</v>
      </c>
      <c r="E8" s="6" t="s">
        <v>19</v>
      </c>
      <c r="F8" s="6" t="s">
        <v>20</v>
      </c>
    </row>
    <row r="9" spans="1:6" ht="16.5" customHeight="1" x14ac:dyDescent="0.4">
      <c r="A9" s="13"/>
      <c r="C9" s="7">
        <v>45662</v>
      </c>
      <c r="D9" s="8" t="s">
        <v>41</v>
      </c>
      <c r="E9" s="8" t="s">
        <v>42</v>
      </c>
      <c r="F9" s="9">
        <v>150</v>
      </c>
    </row>
    <row r="10" spans="1:6" ht="16.5" customHeight="1" x14ac:dyDescent="0.4">
      <c r="A10" s="13"/>
      <c r="C10" s="7">
        <v>45669</v>
      </c>
      <c r="D10" s="8" t="s">
        <v>43</v>
      </c>
      <c r="E10" s="8" t="s">
        <v>44</v>
      </c>
      <c r="F10" s="9">
        <v>200</v>
      </c>
    </row>
    <row r="11" spans="1:6" ht="16.5" customHeight="1" x14ac:dyDescent="0.4">
      <c r="A11" s="13"/>
      <c r="C11" s="7">
        <v>45677</v>
      </c>
      <c r="D11" s="8" t="s">
        <v>25</v>
      </c>
      <c r="E11" s="8" t="s">
        <v>45</v>
      </c>
      <c r="F11" s="9">
        <v>1200</v>
      </c>
    </row>
    <row r="12" spans="1:6" ht="16.5" customHeight="1" x14ac:dyDescent="0.4">
      <c r="A12" s="13"/>
      <c r="C12" s="7">
        <v>45696</v>
      </c>
      <c r="D12" s="8" t="s">
        <v>46</v>
      </c>
      <c r="E12" s="8" t="s">
        <v>47</v>
      </c>
      <c r="F12" s="9">
        <v>180</v>
      </c>
    </row>
    <row r="13" spans="1:6" ht="16.5" customHeight="1" x14ac:dyDescent="0.4">
      <c r="A13" s="14" t="s">
        <v>0</v>
      </c>
      <c r="C13" s="7">
        <v>45713</v>
      </c>
      <c r="D13" s="8" t="s">
        <v>48</v>
      </c>
      <c r="E13" s="8" t="s">
        <v>49</v>
      </c>
      <c r="F13" s="9">
        <v>250</v>
      </c>
    </row>
    <row r="14" spans="1:6" ht="16.5" customHeight="1" x14ac:dyDescent="0.3">
      <c r="A14" s="14" t="s">
        <v>1</v>
      </c>
    </row>
    <row r="15" spans="1:6" ht="16.5" customHeight="1" x14ac:dyDescent="0.4">
      <c r="A15" s="14" t="s">
        <v>2</v>
      </c>
      <c r="C15" s="10"/>
      <c r="D15" s="10"/>
      <c r="E15" s="11" t="s">
        <v>29</v>
      </c>
      <c r="F15" s="12">
        <f>SUM(F9:F13)</f>
        <v>1980</v>
      </c>
    </row>
    <row r="16" spans="1:6" ht="16.5" customHeight="1" x14ac:dyDescent="0.3">
      <c r="A16" s="14" t="s">
        <v>3</v>
      </c>
    </row>
    <row r="17" spans="1:1" ht="16.5" customHeight="1" x14ac:dyDescent="0.3">
      <c r="A17" s="14" t="s">
        <v>4</v>
      </c>
    </row>
    <row r="18" spans="1:1" ht="16.5" customHeight="1" x14ac:dyDescent="0.3">
      <c r="A18" s="14" t="s">
        <v>5</v>
      </c>
    </row>
    <row r="19" spans="1:1" ht="16.5" customHeight="1" x14ac:dyDescent="0.3">
      <c r="A19" s="13"/>
    </row>
    <row r="20" spans="1:1" ht="16.5" customHeight="1" x14ac:dyDescent="0.3">
      <c r="A20" s="13"/>
    </row>
    <row r="21" spans="1:1" ht="16.5" customHeight="1" x14ac:dyDescent="0.3">
      <c r="A21" s="13"/>
    </row>
    <row r="22" spans="1:1" ht="16.5" customHeight="1" x14ac:dyDescent="0.3">
      <c r="A22" s="13"/>
    </row>
    <row r="23" spans="1:1" ht="16.5" customHeight="1" x14ac:dyDescent="0.3">
      <c r="A23" s="13"/>
    </row>
    <row r="24" spans="1:1" ht="16.5" customHeight="1" x14ac:dyDescent="0.3">
      <c r="A24" s="13"/>
    </row>
    <row r="25" spans="1:1" ht="16.5" customHeight="1" x14ac:dyDescent="0.3">
      <c r="A25" s="13"/>
    </row>
    <row r="26" spans="1:1" ht="16.5" customHeight="1" x14ac:dyDescent="0.3">
      <c r="A26" s="13"/>
    </row>
    <row r="27" spans="1:1" ht="16.5" customHeight="1" x14ac:dyDescent="0.3">
      <c r="A27" s="13"/>
    </row>
    <row r="28" spans="1:1" ht="16.5" customHeight="1" x14ac:dyDescent="0.3">
      <c r="A28" s="13"/>
    </row>
    <row r="29" spans="1:1" ht="16.5" customHeight="1" x14ac:dyDescent="0.3"/>
  </sheetData>
  <mergeCells count="1">
    <mergeCell ref="C4:E4"/>
  </mergeCells>
  <hyperlinks>
    <hyperlink ref="A13" location="'Dashboard'!A1" display="Dashboard" xr:uid="{30F68CD8-3856-4745-9AF7-570E4CE2CA80}"/>
    <hyperlink ref="A14" location="'Rendimentos'!A1" display="Rendimentos" xr:uid="{EE0ADBF7-C7BD-4FD7-B0EA-502B1FC23FC5}"/>
    <hyperlink ref="A15" location="'Deduções'!A1" display="Deduções" xr:uid="{310151AE-5720-4E71-9531-082F657C7FC1}"/>
    <hyperlink ref="A16" location="'Despesas Profissionais'!A1" display="Despesas Profissionais" xr:uid="{F097798C-E85D-4F79-BF4F-84799E26EB6C}"/>
    <hyperlink ref="A17" location="'Bens e Direitos'!A1" display="Bens e Direitos" xr:uid="{E53066DC-AA71-4A08-8422-2E9E9809B38E}"/>
    <hyperlink ref="A18" location="'Resumo Fiscal'!A1" display="Resumo Fiscal" xr:uid="{88093021-C8CF-472D-B415-B799D02630A2}"/>
  </hyperlink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7" tint="0.39997558519241921"/>
  </sheetPr>
  <dimension ref="A1:G29"/>
  <sheetViews>
    <sheetView showGridLines="0" workbookViewId="0">
      <pane xSplit="1" topLeftCell="B1" activePane="topRight" state="frozen"/>
      <selection pane="topRight" sqref="A1:A1048576"/>
    </sheetView>
  </sheetViews>
  <sheetFormatPr defaultRowHeight="14.4" x14ac:dyDescent="0.3"/>
  <cols>
    <col min="1" max="1" width="29.88671875" customWidth="1"/>
    <col min="2" max="2" width="13" customWidth="1"/>
    <col min="3" max="3" width="30" customWidth="1"/>
    <col min="4" max="4" width="45" customWidth="1"/>
    <col min="5" max="5" width="18" customWidth="1"/>
    <col min="6" max="6" width="16" customWidth="1"/>
    <col min="7" max="7" width="28" customWidth="1"/>
    <col min="8" max="8" width="13" customWidth="1"/>
  </cols>
  <sheetData>
    <row r="1" spans="1:7" x14ac:dyDescent="0.3">
      <c r="A1" s="13"/>
    </row>
    <row r="2" spans="1:7" ht="19.95" customHeight="1" x14ac:dyDescent="0.3">
      <c r="A2" s="13"/>
    </row>
    <row r="3" spans="1:7" ht="19.95" customHeight="1" x14ac:dyDescent="0.4">
      <c r="A3" s="13"/>
      <c r="C3" s="1" t="s">
        <v>50</v>
      </c>
    </row>
    <row r="4" spans="1:7" ht="22.05" customHeight="1" x14ac:dyDescent="0.3">
      <c r="A4" s="13"/>
      <c r="C4" s="15" t="s">
        <v>51</v>
      </c>
      <c r="D4" s="16"/>
      <c r="E4" s="16"/>
    </row>
    <row r="5" spans="1:7" x14ac:dyDescent="0.3">
      <c r="A5" s="13"/>
    </row>
    <row r="6" spans="1:7" ht="16.5" customHeight="1" x14ac:dyDescent="0.3">
      <c r="A6" s="13"/>
    </row>
    <row r="7" spans="1:7" ht="16.5" customHeight="1" x14ac:dyDescent="0.4">
      <c r="A7" s="13"/>
      <c r="C7" s="5" t="s">
        <v>52</v>
      </c>
    </row>
    <row r="8" spans="1:7" ht="16.5" customHeight="1" x14ac:dyDescent="0.35">
      <c r="A8" s="13"/>
      <c r="C8" s="6" t="s">
        <v>19</v>
      </c>
      <c r="D8" s="6" t="s">
        <v>53</v>
      </c>
      <c r="E8" s="6" t="s">
        <v>54</v>
      </c>
      <c r="F8" s="6" t="s">
        <v>20</v>
      </c>
      <c r="G8" s="6" t="s">
        <v>55</v>
      </c>
    </row>
    <row r="9" spans="1:7" ht="16.5" customHeight="1" x14ac:dyDescent="0.4">
      <c r="A9" s="13"/>
      <c r="C9" s="8" t="s">
        <v>56</v>
      </c>
      <c r="D9" s="8" t="s">
        <v>57</v>
      </c>
      <c r="E9" s="7">
        <v>42139</v>
      </c>
      <c r="F9" s="9">
        <v>450000</v>
      </c>
      <c r="G9" s="8" t="s">
        <v>58</v>
      </c>
    </row>
    <row r="10" spans="1:7" ht="16.5" customHeight="1" x14ac:dyDescent="0.4">
      <c r="A10" s="13"/>
      <c r="C10" s="8" t="s">
        <v>59</v>
      </c>
      <c r="D10" s="8" t="s">
        <v>60</v>
      </c>
      <c r="E10" s="7">
        <v>43322</v>
      </c>
      <c r="F10" s="9">
        <v>320000</v>
      </c>
      <c r="G10" s="8" t="s">
        <v>61</v>
      </c>
    </row>
    <row r="11" spans="1:7" ht="16.5" customHeight="1" x14ac:dyDescent="0.4">
      <c r="A11" s="13"/>
      <c r="C11" s="8" t="s">
        <v>62</v>
      </c>
      <c r="D11" s="8" t="s">
        <v>63</v>
      </c>
      <c r="E11" s="7">
        <v>43546</v>
      </c>
      <c r="F11" s="9">
        <v>85000</v>
      </c>
      <c r="G11" s="8" t="s">
        <v>64</v>
      </c>
    </row>
    <row r="12" spans="1:7" ht="16.5" customHeight="1" x14ac:dyDescent="0.4">
      <c r="A12" s="13"/>
      <c r="C12" s="8" t="s">
        <v>65</v>
      </c>
      <c r="D12" s="8" t="s">
        <v>66</v>
      </c>
      <c r="E12" s="7">
        <v>44931</v>
      </c>
      <c r="F12" s="9">
        <v>25000</v>
      </c>
      <c r="G12" s="8" t="s">
        <v>67</v>
      </c>
    </row>
    <row r="13" spans="1:7" ht="16.5" customHeight="1" x14ac:dyDescent="0.3">
      <c r="A13" s="14" t="s">
        <v>0</v>
      </c>
    </row>
    <row r="14" spans="1:7" ht="16.5" customHeight="1" x14ac:dyDescent="0.4">
      <c r="A14" s="14" t="s">
        <v>1</v>
      </c>
      <c r="C14" s="10"/>
      <c r="D14" s="10"/>
      <c r="E14" s="11" t="s">
        <v>29</v>
      </c>
      <c r="F14" s="12">
        <f>SUM(F9:F12)</f>
        <v>880000</v>
      </c>
      <c r="G14" s="10"/>
    </row>
    <row r="15" spans="1:7" ht="16.5" customHeight="1" x14ac:dyDescent="0.3">
      <c r="A15" s="14" t="s">
        <v>2</v>
      </c>
    </row>
    <row r="16" spans="1:7" ht="16.5" customHeight="1" x14ac:dyDescent="0.3">
      <c r="A16" s="14" t="s">
        <v>3</v>
      </c>
    </row>
    <row r="17" spans="1:1" ht="16.5" customHeight="1" x14ac:dyDescent="0.3">
      <c r="A17" s="14" t="s">
        <v>4</v>
      </c>
    </row>
    <row r="18" spans="1:1" ht="16.5" customHeight="1" x14ac:dyDescent="0.3">
      <c r="A18" s="14" t="s">
        <v>5</v>
      </c>
    </row>
    <row r="19" spans="1:1" ht="16.5" customHeight="1" x14ac:dyDescent="0.3">
      <c r="A19" s="13"/>
    </row>
    <row r="20" spans="1:1" ht="16.5" customHeight="1" x14ac:dyDescent="0.3">
      <c r="A20" s="13"/>
    </row>
    <row r="21" spans="1:1" ht="16.5" customHeight="1" x14ac:dyDescent="0.3">
      <c r="A21" s="13"/>
    </row>
    <row r="22" spans="1:1" ht="16.5" customHeight="1" x14ac:dyDescent="0.3">
      <c r="A22" s="13"/>
    </row>
    <row r="23" spans="1:1" ht="16.5" customHeight="1" x14ac:dyDescent="0.3">
      <c r="A23" s="13"/>
    </row>
    <row r="24" spans="1:1" ht="16.5" customHeight="1" x14ac:dyDescent="0.3">
      <c r="A24" s="13"/>
    </row>
    <row r="25" spans="1:1" ht="16.5" customHeight="1" x14ac:dyDescent="0.3">
      <c r="A25" s="13"/>
    </row>
    <row r="26" spans="1:1" ht="16.5" customHeight="1" x14ac:dyDescent="0.3">
      <c r="A26" s="13"/>
    </row>
    <row r="27" spans="1:1" ht="16.5" customHeight="1" x14ac:dyDescent="0.3">
      <c r="A27" s="13"/>
    </row>
    <row r="28" spans="1:1" ht="16.5" customHeight="1" x14ac:dyDescent="0.3">
      <c r="A28" s="13"/>
    </row>
    <row r="29" spans="1:1" ht="16.5" customHeight="1" x14ac:dyDescent="0.3"/>
  </sheetData>
  <mergeCells count="1">
    <mergeCell ref="C4:E4"/>
  </mergeCells>
  <hyperlinks>
    <hyperlink ref="A13" location="'Dashboard'!A1" display="Dashboard" xr:uid="{7809E1B0-977D-4A9B-9A31-38F9D6156D8A}"/>
    <hyperlink ref="A14" location="'Rendimentos'!A1" display="Rendimentos" xr:uid="{932D659B-52CF-438A-926B-FB42B815171E}"/>
    <hyperlink ref="A15" location="'Deduções'!A1" display="Deduções" xr:uid="{12A50E59-3E15-432C-99D9-F1E15DD277B3}"/>
    <hyperlink ref="A16" location="'Despesas Profissionais'!A1" display="Despesas Profissionais" xr:uid="{AB259F4A-F8CE-4747-B33A-4AEB539CF3EF}"/>
    <hyperlink ref="A17" location="'Bens e Direitos'!A1" display="Bens e Direitos" xr:uid="{14EA4672-78F2-41FD-BE7F-3531C0B1200E}"/>
    <hyperlink ref="A18" location="'Resumo Fiscal'!A1" display="Resumo Fiscal" xr:uid="{FE3AF379-4310-4AF1-8866-34112F0A3529}"/>
  </hyperlink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8" tint="0.39997558519241921"/>
  </sheetPr>
  <dimension ref="A1:E29"/>
  <sheetViews>
    <sheetView showGridLines="0" tabSelected="1" workbookViewId="0">
      <pane xSplit="1" topLeftCell="B1" activePane="topRight" state="frozen"/>
      <selection pane="topRight" activeCell="C22" sqref="C21:C22"/>
    </sheetView>
  </sheetViews>
  <sheetFormatPr defaultRowHeight="14.4" x14ac:dyDescent="0.3"/>
  <cols>
    <col min="1" max="1" width="29.88671875" customWidth="1"/>
    <col min="2" max="2" width="13" customWidth="1"/>
    <col min="3" max="3" width="42.21875" customWidth="1"/>
    <col min="4" max="4" width="43.21875" customWidth="1"/>
    <col min="5" max="8" width="13" customWidth="1"/>
  </cols>
  <sheetData>
    <row r="1" spans="1:5" x14ac:dyDescent="0.3">
      <c r="A1" s="13"/>
    </row>
    <row r="2" spans="1:5" ht="19.95" customHeight="1" x14ac:dyDescent="0.3">
      <c r="A2" s="13"/>
    </row>
    <row r="3" spans="1:5" ht="19.95" customHeight="1" x14ac:dyDescent="0.4">
      <c r="A3" s="13"/>
      <c r="C3" s="1" t="s">
        <v>68</v>
      </c>
    </row>
    <row r="4" spans="1:5" ht="22.05" customHeight="1" x14ac:dyDescent="0.3">
      <c r="A4" s="13"/>
      <c r="C4" s="15" t="s">
        <v>69</v>
      </c>
      <c r="D4" s="16"/>
      <c r="E4" s="16"/>
    </row>
    <row r="5" spans="1:5" x14ac:dyDescent="0.3">
      <c r="A5" s="13"/>
    </row>
    <row r="6" spans="1:5" ht="16.5" customHeight="1" x14ac:dyDescent="0.4">
      <c r="A6" s="13"/>
      <c r="C6" s="5" t="s">
        <v>70</v>
      </c>
    </row>
    <row r="7" spans="1:5" ht="16.5" customHeight="1" x14ac:dyDescent="0.4">
      <c r="A7" s="13"/>
      <c r="C7" s="2" t="s">
        <v>71</v>
      </c>
      <c r="D7" s="3">
        <f>Rendimentos!F15</f>
        <v>18500</v>
      </c>
    </row>
    <row r="8" spans="1:5" ht="16.5" customHeight="1" x14ac:dyDescent="0.4">
      <c r="A8" s="13"/>
      <c r="C8" s="2" t="s">
        <v>72</v>
      </c>
      <c r="D8" s="3">
        <f>Deduções!F15</f>
        <v>2950</v>
      </c>
    </row>
    <row r="9" spans="1:5" ht="16.5" customHeight="1" x14ac:dyDescent="0.4">
      <c r="A9" s="13"/>
      <c r="C9" s="2" t="s">
        <v>73</v>
      </c>
      <c r="D9" s="3">
        <f>'Despesas Profissionais'!F15</f>
        <v>1980</v>
      </c>
    </row>
    <row r="10" spans="1:5" ht="16.5" customHeight="1" x14ac:dyDescent="0.4">
      <c r="A10" s="13"/>
      <c r="C10" s="2" t="s">
        <v>10</v>
      </c>
      <c r="D10" s="3">
        <f>D7-D8-D9</f>
        <v>13570</v>
      </c>
    </row>
    <row r="11" spans="1:5" ht="16.5" customHeight="1" x14ac:dyDescent="0.4">
      <c r="A11" s="13"/>
      <c r="C11" s="2" t="s">
        <v>11</v>
      </c>
      <c r="D11" s="3">
        <f>D10*0.15</f>
        <v>2035.5</v>
      </c>
    </row>
    <row r="12" spans="1:5" ht="16.5" customHeight="1" x14ac:dyDescent="0.4">
      <c r="A12" s="13"/>
      <c r="C12" s="2" t="s">
        <v>74</v>
      </c>
      <c r="D12" s="3">
        <f>'Bens e Direitos'!F14</f>
        <v>880000</v>
      </c>
    </row>
    <row r="13" spans="1:5" ht="16.5" customHeight="1" x14ac:dyDescent="0.3">
      <c r="A13" s="14" t="s">
        <v>0</v>
      </c>
    </row>
    <row r="14" spans="1:5" ht="16.5" customHeight="1" x14ac:dyDescent="0.3">
      <c r="A14" s="14" t="s">
        <v>1</v>
      </c>
    </row>
    <row r="15" spans="1:5" ht="16.5" customHeight="1" x14ac:dyDescent="0.3">
      <c r="A15" s="14" t="s">
        <v>2</v>
      </c>
    </row>
    <row r="16" spans="1:5" ht="16.5" customHeight="1" x14ac:dyDescent="0.3">
      <c r="A16" s="14" t="s">
        <v>3</v>
      </c>
    </row>
    <row r="17" spans="1:1" ht="16.5" customHeight="1" x14ac:dyDescent="0.3">
      <c r="A17" s="14" t="s">
        <v>4</v>
      </c>
    </row>
    <row r="18" spans="1:1" ht="16.5" customHeight="1" x14ac:dyDescent="0.3">
      <c r="A18" s="14" t="s">
        <v>5</v>
      </c>
    </row>
    <row r="19" spans="1:1" ht="16.5" customHeight="1" x14ac:dyDescent="0.3">
      <c r="A19" s="13"/>
    </row>
    <row r="20" spans="1:1" ht="16.5" customHeight="1" x14ac:dyDescent="0.3">
      <c r="A20" s="13"/>
    </row>
    <row r="21" spans="1:1" ht="16.5" customHeight="1" x14ac:dyDescent="0.3">
      <c r="A21" s="13"/>
    </row>
    <row r="22" spans="1:1" ht="16.5" customHeight="1" x14ac:dyDescent="0.3">
      <c r="A22" s="13"/>
    </row>
    <row r="23" spans="1:1" ht="16.5" customHeight="1" x14ac:dyDescent="0.3">
      <c r="A23" s="13"/>
    </row>
    <row r="24" spans="1:1" ht="16.5" customHeight="1" x14ac:dyDescent="0.3">
      <c r="A24" s="13"/>
    </row>
    <row r="25" spans="1:1" ht="16.5" customHeight="1" x14ac:dyDescent="0.3">
      <c r="A25" s="13"/>
    </row>
    <row r="26" spans="1:1" ht="16.5" customHeight="1" x14ac:dyDescent="0.3">
      <c r="A26" s="13"/>
    </row>
    <row r="27" spans="1:1" ht="16.5" customHeight="1" x14ac:dyDescent="0.3">
      <c r="A27" s="13"/>
    </row>
    <row r="28" spans="1:1" ht="16.5" customHeight="1" x14ac:dyDescent="0.3">
      <c r="A28" s="13"/>
    </row>
    <row r="29" spans="1:1" ht="16.5" customHeight="1" x14ac:dyDescent="0.3"/>
  </sheetData>
  <mergeCells count="1">
    <mergeCell ref="C4:E4"/>
  </mergeCells>
  <hyperlinks>
    <hyperlink ref="A13" location="'Dashboard'!A1" display="Dashboard" xr:uid="{52FA82DF-538A-4D9F-BFFB-08D1C3D9BE3E}"/>
    <hyperlink ref="A14" location="'Rendimentos'!A1" display="Rendimentos" xr:uid="{6C3FEA47-75DF-4E9B-9B83-5287480AF91F}"/>
    <hyperlink ref="A15" location="'Deduções'!A1" display="Deduções" xr:uid="{F52DAA10-1261-47DE-9547-DB0E1BA76ED1}"/>
    <hyperlink ref="A16" location="'Despesas Profissionais'!A1" display="Despesas Profissionais" xr:uid="{44472A97-E8F3-42D7-BA61-F3D8F82D715F}"/>
    <hyperlink ref="A17" location="'Bens e Direitos'!A1" display="Bens e Direitos" xr:uid="{D0148A97-E746-44F0-91DE-F5A60B9B9F1F}"/>
    <hyperlink ref="A18" location="'Resumo Fiscal'!A1" display="Resumo Fiscal" xr:uid="{F6A38F42-EEE3-4077-A041-AAB42448CF8D}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Dashboard</vt:lpstr>
      <vt:lpstr>Rendimentos</vt:lpstr>
      <vt:lpstr>Deduções</vt:lpstr>
      <vt:lpstr>Despesas Profissionais</vt:lpstr>
      <vt:lpstr>Bens e Direitos</vt:lpstr>
      <vt:lpstr>Resumo Fiscal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Marcus Vasconcellos</dc:creator>
  <cp:lastModifiedBy>Marcus Augusto da Silva Vasconcellos</cp:lastModifiedBy>
  <dcterms:created xsi:type="dcterms:W3CDTF">2025-12-29T12:43:57Z</dcterms:created>
  <dcterms:modified xsi:type="dcterms:W3CDTF">2025-12-29T16:31:26Z</dcterms:modified>
</cp:coreProperties>
</file>